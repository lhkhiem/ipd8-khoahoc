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dự án" sheetId="1" r:id="rId4"/>
    <sheet state="visible" name="Danh sách tài khoản demo" sheetId="2" r:id="rId5"/>
    <sheet state="visible" name="Tài liệu triển khai" sheetId="3" r:id="rId6"/>
  </sheets>
  <definedNames/>
  <calcPr/>
</workbook>
</file>

<file path=xl/sharedStrings.xml><?xml version="1.0" encoding="utf-8"?>
<sst xmlns="http://schemas.openxmlformats.org/spreadsheetml/2006/main" count="84" uniqueCount="65">
  <si>
    <t>8i - Project Timeline</t>
  </si>
  <si>
    <t>Ngày khởi công:</t>
  </si>
  <si>
    <t>Thời gian triển khai:</t>
  </si>
  <si>
    <t>(không tính các ngày Chủ Nhật và thời gian phản hồi của team Zmoms)</t>
  </si>
  <si>
    <r>
      <rPr>
        <rFont val="Arial"/>
        <color rgb="FFFFFFFF"/>
        <sz val="13.0"/>
      </rPr>
      <t xml:space="preserve">Ngày hoàn thành </t>
    </r>
    <r>
      <rPr>
        <rFont val="Arial"/>
        <i/>
        <color rgb="FFFFFFFF"/>
        <sz val="13.0"/>
      </rPr>
      <t>(lý thuyết)</t>
    </r>
    <r>
      <rPr>
        <rFont val="Arial"/>
        <color rgb="FFFFFFFF"/>
        <sz val="13.0"/>
      </rPr>
      <t>:</t>
    </r>
  </si>
  <si>
    <t>Đội</t>
  </si>
  <si>
    <t>Tuần 1: Khởi tạo dự án và giao diện UI/UX</t>
  </si>
  <si>
    <t>Tuần 2: Phân tích chức năng &amp; Xây dựng backend</t>
  </si>
  <si>
    <t>Tuần 3: Hoàn thiện Backend / Database và CMS</t>
  </si>
  <si>
    <t>Tuần 4: Kiểm thử và Pre-Launching</t>
  </si>
  <si>
    <t>Tuần 4: Kiểm thử và bàn giao</t>
  </si>
  <si>
    <t>Tuần 5: Nghiệm thu và thanh toán</t>
  </si>
  <si>
    <t>Trạng thái</t>
  </si>
  <si>
    <t>PressUp</t>
  </si>
  <si>
    <t>Xây dựng giao diện UI/UX Website</t>
  </si>
  <si>
    <t>Hoàn thành</t>
  </si>
  <si>
    <t>Zmoms</t>
  </si>
  <si>
    <t>Thanh toán giai đoạn 1</t>
  </si>
  <si>
    <t>Phản hồi kết quả &amp; Cung cấp tài liệu để xây dựng backend</t>
  </si>
  <si>
    <r>
      <rPr>
        <rFont val="Arial, sans-serif"/>
        <color rgb="FFFFFFFF"/>
        <sz val="10.0"/>
      </rPr>
      <t xml:space="preserve">Chốt tên miền .edu.vn; Chuẩn bị hồ sơ đăng ký </t>
    </r>
    <r>
      <rPr>
        <rFont val="Arial, sans-serif"/>
        <color rgb="FFFFFFFF"/>
        <sz val="10.0"/>
        <u/>
      </rPr>
      <t>online.gov.vn</t>
    </r>
  </si>
  <si>
    <t>Phân tích chức năng và giải pháp triển khai hệ thống</t>
  </si>
  <si>
    <t>Đang triển khai</t>
  </si>
  <si>
    <t>Xây dựng Backend và custom giao diện quản trị CMS</t>
  </si>
  <si>
    <t>Hoàn thiện đăng ký tài khoản cổng thanh toán</t>
  </si>
  <si>
    <t>Phản hồi kết quả</t>
  </si>
  <si>
    <t>Tích hợp cổng thanh toán</t>
  </si>
  <si>
    <t>Hoàn thiện Database &amp; hệ thống CMS customize</t>
  </si>
  <si>
    <t>Khởi tạo và gửi tài khoản demo / admin CMS</t>
  </si>
  <si>
    <t>Sử dụng và vận hành thử nghiệm</t>
  </si>
  <si>
    <t>Cấu hình VPS và các script tối ưu hệ thống</t>
  </si>
  <si>
    <t>Đóng ứng dụng ở phiên bản v1.0.0</t>
  </si>
  <si>
    <t>Soạn tài liệu hướng dẫn liên quan</t>
  </si>
  <si>
    <t>Bàn giao source-code / database và tài liệu hướng dẫn</t>
  </si>
  <si>
    <t>Thanh toán giai đoạn 2</t>
  </si>
  <si>
    <t>Lập biên bản nghiệm thu</t>
  </si>
  <si>
    <t>Thanh toán phần còn lại</t>
  </si>
  <si>
    <t>Tên</t>
  </si>
  <si>
    <t>Công ty</t>
  </si>
  <si>
    <t>Tài khoản</t>
  </si>
  <si>
    <t>Vai trò</t>
  </si>
  <si>
    <t>Phòng ban</t>
  </si>
  <si>
    <r>
      <rPr>
        <rFont val="Arial"/>
        <color theme="1"/>
        <sz val="11.0"/>
      </rPr>
      <t xml:space="preserve">ID </t>
    </r>
    <r>
      <rPr>
        <rFont val="Arial"/>
        <i/>
        <color theme="1"/>
        <sz val="11.0"/>
      </rPr>
      <t>(email)</t>
    </r>
  </si>
  <si>
    <r>
      <rPr>
        <rFont val="Arial"/>
        <color theme="1"/>
        <sz val="11.0"/>
      </rPr>
      <t xml:space="preserve">Password </t>
    </r>
    <r>
      <rPr>
        <rFont val="Arial"/>
        <i/>
        <color theme="1"/>
        <sz val="11.0"/>
      </rPr>
      <t>(demo)</t>
    </r>
  </si>
  <si>
    <t>Điện thoại</t>
  </si>
  <si>
    <t>Ghi chú</t>
  </si>
  <si>
    <t>joliequynh@otbcreatives.com</t>
  </si>
  <si>
    <t>Cộng Đồng Bầu</t>
  </si>
  <si>
    <t>Super Admin</t>
  </si>
  <si>
    <t>System Owner</t>
  </si>
  <si>
    <t>Board of Director</t>
  </si>
  <si>
    <t>1235678#@abcA</t>
  </si>
  <si>
    <t>Toàn quyền trên CMS và hạ tầng logic</t>
  </si>
  <si>
    <t>jos.le@otbcreatives.com</t>
  </si>
  <si>
    <t>Moderator</t>
  </si>
  <si>
    <t>System Moderator</t>
  </si>
  <si>
    <t>IT Department</t>
  </si>
  <si>
    <t>Toàn quyền kiểm soát toàn hệ thống về mặt IT, nhưng dưới Super Admin</t>
  </si>
  <si>
    <t>toan.duongbao@otbcreatives.com</t>
  </si>
  <si>
    <t>Admin</t>
  </si>
  <si>
    <t>Business Admin</t>
  </si>
  <si>
    <t>Marketing</t>
  </si>
  <si>
    <t>Quản lý nghiệp vụ, không đụng hạ tầng</t>
  </si>
  <si>
    <t>Viewer</t>
  </si>
  <si>
    <t>Other</t>
  </si>
  <si>
    <t>Dành cho kiểm toán, quản lý cấp cao, v.v....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</si>
</sst>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"/>
  </numFmts>
  <fonts count="20">
    <font>
      <sz val="10.0"/>
      <color rgb="FF000000"/>
      <name val="Arial"/>
      <scheme val="minor"/>
    </font>
    <font>
      <b/>
      <sz val="38.0"/>
      <color rgb="FF000000"/>
      <name val="Arial"/>
    </font>
    <font>
      <b/>
      <sz val="48.0"/>
      <color rgb="FF000000"/>
      <name val="Arial"/>
    </font>
    <font>
      <sz val="13.0"/>
      <color rgb="FFFFFFFF"/>
      <name val="Arial"/>
    </font>
    <font>
      <sz val="11.0"/>
      <color rgb="FF404040"/>
      <name val="Arial"/>
    </font>
    <font>
      <i/>
      <sz val="11.0"/>
      <color rgb="FF404040"/>
      <name val="Arial"/>
    </font>
    <font>
      <sz val="11.0"/>
      <color rgb="FFFFFFFF"/>
      <name val="Arial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rgb="FFFFFFFF"/>
      <name val="Arial"/>
    </font>
    <font>
      <strike/>
      <sz val="10.0"/>
      <color rgb="FFFFFFFF"/>
      <name val="Arial"/>
    </font>
    <font>
      <sz val="10.0"/>
      <color rgb="FF404040"/>
      <name val="Arial"/>
    </font>
    <font>
      <u/>
      <sz val="10.0"/>
      <color rgb="FFFFFFFF"/>
      <name val="Arial"/>
    </font>
    <font>
      <color rgb="FFFFFFFF"/>
      <name val="Arial"/>
    </font>
    <font>
      <b/>
      <sz val="10.0"/>
      <color rgb="FF40404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5E4D0"/>
        <bgColor rgb="FFF5E4D0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BA7827"/>
        <bgColor rgb="FFBA7827"/>
      </patternFill>
    </fill>
    <fill>
      <patternFill patternType="solid">
        <fgColor rgb="FFE06666"/>
        <bgColor rgb="FFE06666"/>
      </patternFill>
    </fill>
    <fill>
      <patternFill patternType="solid">
        <fgColor rgb="FF1155CC"/>
        <bgColor rgb="FF1155C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</fills>
  <borders count="27">
    <border/>
    <border>
      <right style="thin">
        <color rgb="FFF5E4D0"/>
      </right>
    </border>
    <border>
      <left style="thin">
        <color rgb="FFF5E4D0"/>
      </left>
    </border>
    <border>
      <left style="thin">
        <color rgb="FFFFFFFF"/>
      </left>
    </border>
    <border>
      <top style="thin">
        <color rgb="FFF5E4D0"/>
      </top>
      <bottom style="thin">
        <color rgb="FFF5E4D0"/>
      </bottom>
    </border>
    <border>
      <right style="thin">
        <color rgb="FFF5E4D0"/>
      </right>
      <top style="thin">
        <color rgb="FFF5E4D0"/>
      </top>
      <bottom style="thin">
        <color rgb="FFF5E4D0"/>
      </bottom>
    </border>
    <border>
      <right style="thin">
        <color rgb="FFF5E4D0"/>
      </right>
      <bottom style="thin">
        <color rgb="FFF5E4D0"/>
      </bottom>
    </border>
    <border>
      <bottom style="thin">
        <color rgb="FFF5E4D0"/>
      </bottom>
    </border>
    <border>
      <left style="thin">
        <color rgb="FFF5E4D0"/>
      </left>
      <bottom style="thin">
        <color rgb="FFF5E4D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top style="thin">
        <color rgb="FFB0B0B0"/>
      </top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</border>
    <border>
      <left style="thin">
        <color rgb="FFB0B0B0"/>
      </left>
      <right style="thin">
        <color rgb="FFB0B0B0"/>
      </right>
    </border>
    <border>
      <left style="thin">
        <color rgb="FFB0B0B0"/>
      </left>
    </border>
    <border>
      <left style="thin">
        <color rgb="FFB0B0B0"/>
      </left>
      <bottom style="thin">
        <color rgb="FFB0B0B0"/>
      </bottom>
    </border>
    <border>
      <right style="thin">
        <color rgb="FFB0B0B0"/>
      </right>
      <top style="thin">
        <color rgb="FFB0B0B0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shrinkToFit="0" vertical="center" wrapText="1"/>
    </xf>
    <xf borderId="0" fillId="2" fontId="4" numFmtId="0" xfId="0" applyAlignment="1" applyFont="1">
      <alignment horizontal="left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" fillId="0" fontId="8" numFmtId="0" xfId="0" applyBorder="1" applyFont="1"/>
    <xf borderId="2" fillId="4" fontId="7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5" fillId="0" fontId="8" numFmtId="0" xfId="0" applyBorder="1" applyFont="1"/>
    <xf borderId="3" fillId="0" fontId="8" numFmtId="0" xfId="0" applyBorder="1" applyFont="1"/>
    <xf borderId="0" fillId="4" fontId="10" numFmtId="0" xfId="0" applyAlignment="1" applyFont="1">
      <alignment horizontal="center" readingOrder="0" shrinkToFit="0" vertical="center" wrapText="1"/>
    </xf>
    <xf borderId="0" fillId="5" fontId="10" numFmtId="0" xfId="0" applyAlignment="1" applyFill="1" applyFont="1">
      <alignment horizontal="center" readingOrder="0" shrinkToFit="0" vertical="center" wrapText="1"/>
    </xf>
    <xf borderId="2" fillId="4" fontId="10" numFmtId="0" xfId="0" applyAlignment="1" applyBorder="1" applyFont="1">
      <alignment horizontal="center"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6" fillId="0" fontId="8" numFmtId="0" xfId="0" applyBorder="1" applyFont="1"/>
    <xf borderId="0" fillId="4" fontId="10" numFmtId="165" xfId="0" applyAlignment="1" applyFont="1" applyNumberFormat="1">
      <alignment horizontal="center" readingOrder="0" shrinkToFit="0" vertical="center" wrapText="1"/>
    </xf>
    <xf borderId="7" fillId="5" fontId="10" numFmtId="165" xfId="0" applyAlignment="1" applyBorder="1" applyFont="1" applyNumberFormat="1">
      <alignment horizontal="center" readingOrder="0" shrinkToFit="0" vertical="center" wrapText="1"/>
    </xf>
    <xf borderId="7" fillId="4" fontId="10" numFmtId="165" xfId="0" applyAlignment="1" applyBorder="1" applyFont="1" applyNumberFormat="1">
      <alignment horizontal="center" readingOrder="0" shrinkToFit="0" vertical="center" wrapText="1"/>
    </xf>
    <xf borderId="2" fillId="4" fontId="10" numFmtId="165" xfId="0" applyAlignment="1" applyBorder="1" applyFont="1" applyNumberFormat="1">
      <alignment horizontal="center" readingOrder="0" shrinkToFit="0" vertical="center" wrapText="1"/>
    </xf>
    <xf borderId="8" fillId="4" fontId="10" numFmtId="165" xfId="0" applyAlignment="1" applyBorder="1" applyFont="1" applyNumberFormat="1">
      <alignment horizontal="center" readingOrder="0" shrinkToFit="0" vertical="center" wrapText="1"/>
    </xf>
    <xf borderId="7" fillId="6" fontId="10" numFmtId="165" xfId="0" applyAlignment="1" applyBorder="1" applyFont="1" applyNumberFormat="1">
      <alignment horizontal="center" readingOrder="0" shrinkToFit="0" vertical="center" wrapText="1"/>
    </xf>
    <xf borderId="9" fillId="7" fontId="9" numFmtId="0" xfId="0" applyAlignment="1" applyBorder="1" applyFill="1" applyFont="1">
      <alignment horizontal="center" readingOrder="0" shrinkToFit="0" vertical="center" wrapText="1"/>
    </xf>
    <xf borderId="10" fillId="7" fontId="11" numFmtId="0" xfId="0" applyAlignment="1" applyBorder="1" applyFont="1">
      <alignment horizontal="center" readingOrder="0" shrinkToFit="0" vertical="center" wrapText="1"/>
    </xf>
    <xf borderId="11" fillId="0" fontId="8" numFmtId="0" xfId="0" applyBorder="1" applyFont="1"/>
    <xf borderId="12" fillId="0" fontId="8" numFmtId="0" xfId="0" applyBorder="1" applyFont="1"/>
    <xf borderId="13" fillId="8" fontId="12" numFmtId="0" xfId="0" applyAlignment="1" applyBorder="1" applyFill="1" applyFont="1">
      <alignment horizontal="left" shrinkToFit="0" vertical="center" wrapText="1"/>
    </xf>
    <xf borderId="14" fillId="2" fontId="12" numFmtId="0" xfId="0" applyAlignment="1" applyBorder="1" applyFont="1">
      <alignment horizontal="left" shrinkToFit="0" vertical="center" wrapText="1"/>
    </xf>
    <xf borderId="15" fillId="2" fontId="12" numFmtId="0" xfId="0" applyAlignment="1" applyBorder="1" applyFont="1">
      <alignment horizontal="left" shrinkToFit="0" vertical="center" wrapText="1"/>
    </xf>
    <xf borderId="16" fillId="2" fontId="12" numFmtId="0" xfId="0" applyAlignment="1" applyBorder="1" applyFont="1">
      <alignment horizontal="left" shrinkToFit="0" vertical="center" wrapText="1"/>
    </xf>
    <xf borderId="16" fillId="8" fontId="12" numFmtId="0" xfId="0" applyAlignment="1" applyBorder="1" applyFont="1">
      <alignment horizontal="left" shrinkToFit="0" vertical="center" wrapText="1"/>
    </xf>
    <xf borderId="16" fillId="9" fontId="12" numFmtId="0" xfId="0" applyAlignment="1" applyBorder="1" applyFill="1" applyFont="1">
      <alignment horizontal="left" shrinkToFit="0" vertical="center" wrapText="1"/>
    </xf>
    <xf borderId="17" fillId="2" fontId="12" numFmtId="9" xfId="0" applyAlignment="1" applyBorder="1" applyFont="1" applyNumberFormat="1">
      <alignment horizontal="center" readingOrder="0" shrinkToFit="0" vertical="center" wrapText="1"/>
    </xf>
    <xf borderId="17" fillId="8" fontId="12" numFmtId="9" xfId="0" applyAlignment="1" applyBorder="1" applyFont="1" applyNumberFormat="1">
      <alignment horizontal="center" readingOrder="0" shrinkToFit="0" vertical="center" wrapText="1"/>
    </xf>
    <xf borderId="17" fillId="2" fontId="12" numFmtId="0" xfId="0" applyAlignment="1" applyBorder="1" applyFont="1">
      <alignment horizontal="center" readingOrder="0" shrinkToFit="0" vertical="center" wrapText="1"/>
    </xf>
    <xf borderId="15" fillId="10" fontId="9" numFmtId="0" xfId="0" applyAlignment="1" applyBorder="1" applyFill="1" applyFont="1">
      <alignment horizontal="center" readingOrder="0" shrinkToFit="0" vertical="center" wrapText="1"/>
    </xf>
    <xf borderId="18" fillId="10" fontId="11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left" shrinkToFit="0" vertical="center" wrapText="1"/>
    </xf>
    <xf borderId="19" fillId="8" fontId="12" numFmtId="0" xfId="0" applyAlignment="1" applyBorder="1" applyFont="1">
      <alignment horizontal="left" shrinkToFit="0" vertical="center" wrapText="1"/>
    </xf>
    <xf borderId="20" fillId="2" fontId="12" numFmtId="0" xfId="0" applyAlignment="1" applyBorder="1" applyFont="1">
      <alignment horizontal="left" shrinkToFit="0" vertical="center" wrapText="1"/>
    </xf>
    <xf borderId="21" fillId="2" fontId="12" numFmtId="0" xfId="0" applyAlignment="1" applyBorder="1" applyFont="1">
      <alignment horizontal="left" shrinkToFit="0" vertical="center" wrapText="1"/>
    </xf>
    <xf borderId="17" fillId="8" fontId="12" numFmtId="0" xfId="0" applyAlignment="1" applyBorder="1" applyFont="1">
      <alignment horizontal="center" readingOrder="0" shrinkToFit="0" vertical="center" wrapText="1"/>
    </xf>
    <xf borderId="22" fillId="0" fontId="8" numFmtId="0" xfId="0" applyBorder="1" applyFont="1"/>
    <xf borderId="17" fillId="2" fontId="12" numFmtId="0" xfId="0" applyAlignment="1" applyBorder="1" applyFont="1">
      <alignment horizontal="left" shrinkToFit="0" vertical="center" wrapText="1"/>
    </xf>
    <xf borderId="9" fillId="8" fontId="12" numFmtId="0" xfId="0" applyAlignment="1" applyBorder="1" applyFont="1">
      <alignment horizontal="left" shrinkToFit="0" vertical="center" wrapText="1"/>
    </xf>
    <xf borderId="10" fillId="10" fontId="10" numFmtId="0" xfId="0" applyAlignment="1" applyBorder="1" applyFont="1">
      <alignment horizontal="center" readingOrder="0" shrinkToFit="0" vertical="center" wrapText="1"/>
    </xf>
    <xf borderId="16" fillId="2" fontId="12" numFmtId="0" xfId="0" applyAlignment="1" applyBorder="1" applyFont="1">
      <alignment horizontal="center" readingOrder="0" shrinkToFit="0" vertical="center" wrapText="1"/>
    </xf>
    <xf borderId="16" fillId="8" fontId="12" numFmtId="0" xfId="0" applyAlignment="1" applyBorder="1" applyFont="1">
      <alignment horizontal="center" readingOrder="0" shrinkToFit="0" vertical="center" wrapText="1"/>
    </xf>
    <xf borderId="23" fillId="0" fontId="8" numFmtId="0" xfId="0" applyBorder="1" applyFont="1"/>
    <xf borderId="10" fillId="10" fontId="13" numFmtId="0" xfId="0" applyAlignment="1" applyBorder="1" applyFont="1">
      <alignment horizontal="center" readingOrder="0" shrinkToFit="0" vertical="center" wrapText="1"/>
    </xf>
    <xf borderId="16" fillId="2" fontId="12" numFmtId="0" xfId="0" applyAlignment="1" applyBorder="1" applyFont="1">
      <alignment horizontal="center" shrinkToFit="0" vertical="center" wrapText="1"/>
    </xf>
    <xf borderId="16" fillId="8" fontId="12" numFmtId="0" xfId="0" applyAlignment="1" applyBorder="1" applyFont="1">
      <alignment horizontal="center" shrinkToFit="0" vertical="center" wrapText="1"/>
    </xf>
    <xf borderId="14" fillId="7" fontId="9" numFmtId="0" xfId="0" applyAlignment="1" applyBorder="1" applyFont="1">
      <alignment horizontal="center" readingOrder="0" shrinkToFit="0" vertical="center" wrapText="1"/>
    </xf>
    <xf borderId="10" fillId="7" fontId="10" numFmtId="0" xfId="0" applyAlignment="1" applyBorder="1" applyFont="1">
      <alignment horizontal="center" readingOrder="0" shrinkToFit="0" vertical="center" wrapText="1"/>
    </xf>
    <xf borderId="24" fillId="2" fontId="12" numFmtId="0" xfId="0" applyAlignment="1" applyBorder="1" applyFont="1">
      <alignment horizontal="left" shrinkToFit="0" vertical="center" wrapText="1"/>
    </xf>
    <xf borderId="17" fillId="0" fontId="8" numFmtId="0" xfId="0" applyBorder="1" applyFont="1"/>
    <xf borderId="23" fillId="2" fontId="12" numFmtId="0" xfId="0" applyAlignment="1" applyBorder="1" applyFont="1">
      <alignment horizontal="left" shrinkToFit="0" vertical="center" wrapText="1"/>
    </xf>
    <xf borderId="24" fillId="8" fontId="12" numFmtId="0" xfId="0" applyAlignment="1" applyBorder="1" applyFont="1">
      <alignment horizontal="left" shrinkToFit="0" vertical="center" wrapText="1"/>
    </xf>
    <xf borderId="14" fillId="10" fontId="9" numFmtId="0" xfId="0" applyAlignment="1" applyBorder="1" applyFont="1">
      <alignment horizontal="center" readingOrder="0" shrinkToFit="0" vertical="center" wrapText="1"/>
    </xf>
    <xf borderId="9" fillId="2" fontId="12" numFmtId="0" xfId="0" applyAlignment="1" applyBorder="1" applyFont="1">
      <alignment horizontal="left" shrinkToFit="0" vertical="center" wrapText="1"/>
    </xf>
    <xf borderId="14" fillId="8" fontId="12" numFmtId="0" xfId="0" applyAlignment="1" applyBorder="1" applyFont="1">
      <alignment horizontal="left" shrinkToFit="0" vertical="center" wrapText="1"/>
    </xf>
    <xf borderId="10" fillId="10" fontId="14" numFmtId="0" xfId="0" applyAlignment="1" applyBorder="1" applyFont="1">
      <alignment horizontal="center" shrinkToFit="0" vertical="center" wrapText="1"/>
    </xf>
    <xf borderId="13" fillId="2" fontId="12" numFmtId="0" xfId="0" applyAlignment="1" applyBorder="1" applyFont="1">
      <alignment horizontal="left" shrinkToFit="0" vertical="center" wrapText="1"/>
    </xf>
    <xf borderId="17" fillId="8" fontId="12" numFmtId="0" xfId="0" applyAlignment="1" applyBorder="1" applyFont="1">
      <alignment horizontal="left" shrinkToFit="0" vertical="center" wrapText="1"/>
    </xf>
    <xf borderId="18" fillId="7" fontId="10" numFmtId="0" xfId="0" applyAlignment="1" applyBorder="1" applyFont="1">
      <alignment horizontal="center" readingOrder="0" shrinkToFit="0" vertical="center" wrapText="1"/>
    </xf>
    <xf borderId="16" fillId="10" fontId="9" numFmtId="0" xfId="0" applyAlignment="1" applyBorder="1" applyFont="1">
      <alignment horizontal="center" readingOrder="0" shrinkToFit="0" vertical="center" wrapText="1"/>
    </xf>
    <xf borderId="15" fillId="7" fontId="9" numFmtId="0" xfId="0" applyAlignment="1" applyBorder="1" applyFont="1">
      <alignment horizontal="center" readingOrder="0" shrinkToFit="0" vertical="center" wrapText="1"/>
    </xf>
    <xf borderId="13" fillId="9" fontId="12" numFmtId="0" xfId="0" applyAlignment="1" applyBorder="1" applyFont="1">
      <alignment horizontal="left" shrinkToFit="0" vertical="center" wrapText="1"/>
    </xf>
    <xf borderId="24" fillId="9" fontId="12" numFmtId="0" xfId="0" applyAlignment="1" applyBorder="1" applyFont="1">
      <alignment horizontal="left" shrinkToFit="0" vertical="center" wrapText="1"/>
    </xf>
    <xf borderId="18" fillId="10" fontId="10" numFmtId="0" xfId="0" applyAlignment="1" applyBorder="1" applyFont="1">
      <alignment horizontal="center" readingOrder="0" shrinkToFit="0" vertical="center" wrapText="1"/>
    </xf>
    <xf borderId="14" fillId="2" fontId="12" numFmtId="0" xfId="0" applyAlignment="1" applyBorder="1" applyFont="1">
      <alignment horizontal="center" shrinkToFit="0" vertical="center" wrapText="1"/>
    </xf>
    <xf borderId="9" fillId="2" fontId="12" numFmtId="0" xfId="0" applyAlignment="1" applyBorder="1" applyFont="1">
      <alignment horizontal="center" shrinkToFit="0" vertical="center" wrapText="1"/>
    </xf>
    <xf borderId="13" fillId="2" fontId="12" numFmtId="0" xfId="0" applyAlignment="1" applyBorder="1" applyFont="1">
      <alignment horizontal="center" shrinkToFit="0" vertical="center" wrapText="1"/>
    </xf>
    <xf borderId="25" fillId="10" fontId="9" numFmtId="0" xfId="0" applyAlignment="1" applyBorder="1" applyFont="1">
      <alignment horizontal="center" readingOrder="0" shrinkToFit="0" vertical="center" wrapText="1"/>
    </xf>
    <xf borderId="26" fillId="0" fontId="8" numFmtId="0" xfId="0" applyBorder="1" applyFont="1"/>
    <xf borderId="17" fillId="2" fontId="12" numFmtId="0" xfId="0" applyAlignment="1" applyBorder="1" applyFont="1">
      <alignment horizontal="center" shrinkToFit="0" vertical="center" wrapText="1"/>
    </xf>
    <xf borderId="23" fillId="2" fontId="15" numFmtId="0" xfId="0" applyAlignment="1" applyBorder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16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Font="1"/>
    <xf borderId="0" fillId="0" fontId="18" numFmtId="0" xfId="0" applyAlignment="1" applyFont="1">
      <alignment readingOrder="0" shrinkToFit="0" vertical="center" wrapText="0"/>
    </xf>
    <xf borderId="0" fillId="0" fontId="17" numFmtId="49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49" xfId="0" applyAlignment="1" applyFont="1" applyNumberFormat="1">
      <alignment shrinkToFit="0" vertical="center" wrapText="0"/>
    </xf>
    <xf borderId="0" fillId="0" fontId="17" numFmtId="49" xfId="0" applyAlignment="1" applyFont="1" applyNumberFormat="1">
      <alignment readingOrder="0" shrinkToFit="0" vertical="center" wrapText="1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Danh sách tài khoản de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" displayName="Danh_sách_tài_khoản_demo" name="Danh_sách_tài_khoản_demo" id="1">
  <tableColumns count="9">
    <tableColumn name="Tên" id="1"/>
    <tableColumn name="Công ty" id="2"/>
    <tableColumn name="Tài khoản" id="3"/>
    <tableColumn name="Vai trò" id="4"/>
    <tableColumn name="Phòng ban" id="5"/>
    <tableColumn name="ID (email)" id="6"/>
    <tableColumn name="Password (demo)" id="7"/>
    <tableColumn name="Điện thoại" id="8"/>
    <tableColumn name="Ghi chú" id="9"/>
  </tableColumns>
  <tableStyleInfo name="Danh sách tài khoản de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nline.gov.vn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liequynh@otbcreatives.com" TargetMode="External"/><Relationship Id="rId2" Type="http://schemas.openxmlformats.org/officeDocument/2006/relationships/hyperlink" Target="mailto:jos.le@otbcreatives.com" TargetMode="External"/><Relationship Id="rId3" Type="http://schemas.openxmlformats.org/officeDocument/2006/relationships/hyperlink" Target="mailto:toan.duongbao@otbcreatives.com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75"/>
    <col customWidth="1" min="2" max="2" width="14.13"/>
    <col customWidth="1" min="3" max="6" width="8.88"/>
    <col customWidth="1" min="7" max="7" width="25.5"/>
    <col customWidth="1" min="8" max="8" width="22.75"/>
    <col customWidth="1" min="9" max="14" width="8.88"/>
    <col customWidth="1" min="15" max="15" width="22.13"/>
    <col customWidth="1" min="16" max="22" width="8.88"/>
    <col customWidth="1" min="23" max="23" width="14.38"/>
    <col customWidth="1" min="24" max="31" width="8.88"/>
    <col customWidth="1" min="32" max="32" width="17.5"/>
    <col customWidth="1" min="33" max="33" width="25.0"/>
    <col customWidth="1" min="34" max="38" width="8.88"/>
    <col customWidth="1" min="39" max="39" width="14.25"/>
    <col customWidth="1" min="40" max="42" width="8.88"/>
    <col customWidth="1" min="43" max="43" width="14.25"/>
    <col customWidth="1" min="44" max="44" width="18.88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3" t="s">
        <v>1</v>
      </c>
      <c r="B2" s="4">
        <v>46001.0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>
      <c r="A3" s="3" t="s">
        <v>2</v>
      </c>
      <c r="B3" s="6">
        <f>19</f>
        <v>19</v>
      </c>
      <c r="C3" s="7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>
      <c r="A4" s="3" t="s">
        <v>4</v>
      </c>
      <c r="B4" s="4">
        <f>B2+19+3+3+3+3</f>
        <v>46032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>
      <c r="A5" s="10" t="s">
        <v>5</v>
      </c>
      <c r="B5" s="11" t="s">
        <v>6</v>
      </c>
      <c r="H5" s="12"/>
      <c r="I5" s="11" t="s">
        <v>7</v>
      </c>
      <c r="P5" s="13" t="s">
        <v>8</v>
      </c>
      <c r="W5" s="13" t="s">
        <v>9</v>
      </c>
      <c r="AD5" s="13" t="s">
        <v>10</v>
      </c>
      <c r="AK5" s="13" t="s">
        <v>11</v>
      </c>
      <c r="AR5" s="14" t="s">
        <v>12</v>
      </c>
    </row>
    <row r="6">
      <c r="A6" s="12"/>
      <c r="B6" s="15" t="str">
        <f>LOWER(TEXT(B8,"mmm"))</f>
        <v>thg 12</v>
      </c>
      <c r="C6" s="16"/>
      <c r="D6" s="16"/>
      <c r="E6" s="16"/>
      <c r="F6" s="16"/>
      <c r="G6" s="16"/>
      <c r="H6" s="17"/>
      <c r="I6" s="15" t="str">
        <f>LOWER(TEXT(I8,"mmm"))</f>
        <v>thg 12</v>
      </c>
      <c r="J6" s="16"/>
      <c r="K6" s="16"/>
      <c r="L6" s="16"/>
      <c r="M6" s="16"/>
      <c r="N6" s="16"/>
      <c r="O6" s="17"/>
      <c r="P6" s="15" t="str">
        <f>LOWER(TEXT(P8,"mmm"))</f>
        <v>thg 12</v>
      </c>
      <c r="Q6" s="16"/>
      <c r="R6" s="16"/>
      <c r="S6" s="16"/>
      <c r="T6" s="16"/>
      <c r="U6" s="16"/>
      <c r="V6" s="17"/>
      <c r="W6" s="15" t="str">
        <f>LOWER(TEXT(W8,"mmm"))</f>
        <v>thg 12</v>
      </c>
      <c r="X6" s="16"/>
      <c r="Y6" s="16"/>
      <c r="Z6" s="16"/>
      <c r="AA6" s="16"/>
      <c r="AB6" s="16"/>
      <c r="AC6" s="17"/>
      <c r="AD6" s="15" t="str">
        <f>LOWER(TEXT(AD8,"mmm"))</f>
        <v>thg 1</v>
      </c>
      <c r="AE6" s="16"/>
      <c r="AF6" s="16"/>
      <c r="AG6" s="16"/>
      <c r="AH6" s="16"/>
      <c r="AI6" s="16"/>
      <c r="AJ6" s="17"/>
      <c r="AK6" s="15" t="str">
        <f>LOWER(TEXT(AK8,"mmm"))</f>
        <v>thg 1</v>
      </c>
      <c r="AL6" s="16"/>
      <c r="AM6" s="16"/>
      <c r="AN6" s="16"/>
      <c r="AO6" s="16"/>
      <c r="AP6" s="16"/>
      <c r="AQ6" s="17"/>
      <c r="AR6" s="18"/>
    </row>
    <row r="7">
      <c r="A7" s="12"/>
      <c r="B7" s="19" t="str">
        <f t="shared" ref="B7:AQ7" si="1">LOWER(TEXT(B8,"ddd"))</f>
        <v>thứ 4</v>
      </c>
      <c r="C7" s="19" t="str">
        <f t="shared" si="1"/>
        <v>thứ 5</v>
      </c>
      <c r="D7" s="19" t="str">
        <f t="shared" si="1"/>
        <v>thứ 6</v>
      </c>
      <c r="E7" s="19" t="str">
        <f t="shared" si="1"/>
        <v>thứ 7</v>
      </c>
      <c r="F7" s="20" t="str">
        <f t="shared" si="1"/>
        <v>cn</v>
      </c>
      <c r="G7" s="19" t="str">
        <f t="shared" si="1"/>
        <v>thứ 2</v>
      </c>
      <c r="H7" s="19" t="str">
        <f t="shared" si="1"/>
        <v>thứ 3</v>
      </c>
      <c r="I7" s="21" t="str">
        <f t="shared" si="1"/>
        <v>thứ 4</v>
      </c>
      <c r="J7" s="19" t="str">
        <f t="shared" si="1"/>
        <v>thứ 5</v>
      </c>
      <c r="K7" s="19" t="str">
        <f t="shared" si="1"/>
        <v>thứ 6</v>
      </c>
      <c r="L7" s="19" t="str">
        <f t="shared" si="1"/>
        <v>thứ 7</v>
      </c>
      <c r="M7" s="20" t="str">
        <f t="shared" si="1"/>
        <v>cn</v>
      </c>
      <c r="N7" s="19" t="str">
        <f t="shared" si="1"/>
        <v>thứ 2</v>
      </c>
      <c r="O7" s="19" t="str">
        <f t="shared" si="1"/>
        <v>thứ 3</v>
      </c>
      <c r="P7" s="21" t="str">
        <f t="shared" si="1"/>
        <v>thứ 4</v>
      </c>
      <c r="Q7" s="19" t="str">
        <f t="shared" si="1"/>
        <v>thứ 5</v>
      </c>
      <c r="R7" s="19" t="str">
        <f t="shared" si="1"/>
        <v>thứ 6</v>
      </c>
      <c r="S7" s="19" t="str">
        <f t="shared" si="1"/>
        <v>thứ 7</v>
      </c>
      <c r="T7" s="20" t="str">
        <f t="shared" si="1"/>
        <v>cn</v>
      </c>
      <c r="U7" s="19" t="str">
        <f t="shared" si="1"/>
        <v>thứ 2</v>
      </c>
      <c r="V7" s="19" t="str">
        <f t="shared" si="1"/>
        <v>thứ 3</v>
      </c>
      <c r="W7" s="21" t="str">
        <f t="shared" si="1"/>
        <v>thứ 4</v>
      </c>
      <c r="X7" s="20" t="str">
        <f t="shared" si="1"/>
        <v>thứ 5</v>
      </c>
      <c r="Y7" s="19" t="str">
        <f t="shared" si="1"/>
        <v>thứ 6</v>
      </c>
      <c r="Z7" s="19" t="str">
        <f t="shared" si="1"/>
        <v>thứ 7</v>
      </c>
      <c r="AA7" s="20" t="str">
        <f t="shared" si="1"/>
        <v>cn</v>
      </c>
      <c r="AB7" s="19" t="str">
        <f t="shared" si="1"/>
        <v>thứ 2</v>
      </c>
      <c r="AC7" s="19" t="str">
        <f t="shared" si="1"/>
        <v>thứ 3</v>
      </c>
      <c r="AD7" s="21" t="str">
        <f t="shared" si="1"/>
        <v>thứ 4</v>
      </c>
      <c r="AE7" s="19" t="str">
        <f t="shared" si="1"/>
        <v>thứ 5</v>
      </c>
      <c r="AF7" s="19" t="str">
        <f t="shared" si="1"/>
        <v>thứ 6</v>
      </c>
      <c r="AG7" s="22" t="str">
        <f t="shared" si="1"/>
        <v>thứ 7</v>
      </c>
      <c r="AH7" s="20" t="str">
        <f t="shared" si="1"/>
        <v>cn</v>
      </c>
      <c r="AI7" s="19" t="str">
        <f t="shared" si="1"/>
        <v>thứ 2</v>
      </c>
      <c r="AJ7" s="19" t="str">
        <f t="shared" si="1"/>
        <v>thứ 3</v>
      </c>
      <c r="AK7" s="21" t="str">
        <f t="shared" si="1"/>
        <v>thứ 4</v>
      </c>
      <c r="AL7" s="19" t="str">
        <f t="shared" si="1"/>
        <v>thứ 5</v>
      </c>
      <c r="AM7" s="19" t="str">
        <f t="shared" si="1"/>
        <v>thứ 6</v>
      </c>
      <c r="AN7" s="19" t="str">
        <f t="shared" si="1"/>
        <v>thứ 7</v>
      </c>
      <c r="AO7" s="20" t="str">
        <f t="shared" si="1"/>
        <v>cn</v>
      </c>
      <c r="AP7" s="19" t="str">
        <f t="shared" si="1"/>
        <v>thứ 2</v>
      </c>
      <c r="AQ7" s="19" t="str">
        <f t="shared" si="1"/>
        <v>thứ 3</v>
      </c>
      <c r="AR7" s="18"/>
    </row>
    <row r="8">
      <c r="A8" s="23"/>
      <c r="B8" s="24">
        <f>B2</f>
        <v>46001</v>
      </c>
      <c r="C8" s="24">
        <f t="shared" ref="C8:AQ8" si="2">B8+1</f>
        <v>46002</v>
      </c>
      <c r="D8" s="24">
        <f t="shared" si="2"/>
        <v>46003</v>
      </c>
      <c r="E8" s="24">
        <f t="shared" si="2"/>
        <v>46004</v>
      </c>
      <c r="F8" s="25">
        <f t="shared" si="2"/>
        <v>46005</v>
      </c>
      <c r="G8" s="26">
        <f t="shared" si="2"/>
        <v>46006</v>
      </c>
      <c r="H8" s="26">
        <f t="shared" si="2"/>
        <v>46007</v>
      </c>
      <c r="I8" s="27">
        <f t="shared" si="2"/>
        <v>46008</v>
      </c>
      <c r="J8" s="24">
        <f t="shared" si="2"/>
        <v>46009</v>
      </c>
      <c r="K8" s="24">
        <f t="shared" si="2"/>
        <v>46010</v>
      </c>
      <c r="L8" s="24">
        <f t="shared" si="2"/>
        <v>46011</v>
      </c>
      <c r="M8" s="25">
        <f t="shared" si="2"/>
        <v>46012</v>
      </c>
      <c r="N8" s="26">
        <f t="shared" si="2"/>
        <v>46013</v>
      </c>
      <c r="O8" s="26">
        <f t="shared" si="2"/>
        <v>46014</v>
      </c>
      <c r="P8" s="28">
        <f t="shared" si="2"/>
        <v>46015</v>
      </c>
      <c r="Q8" s="26">
        <f t="shared" si="2"/>
        <v>46016</v>
      </c>
      <c r="R8" s="26">
        <f t="shared" si="2"/>
        <v>46017</v>
      </c>
      <c r="S8" s="26">
        <f t="shared" si="2"/>
        <v>46018</v>
      </c>
      <c r="T8" s="25">
        <f t="shared" si="2"/>
        <v>46019</v>
      </c>
      <c r="U8" s="26">
        <f t="shared" si="2"/>
        <v>46020</v>
      </c>
      <c r="V8" s="26">
        <f t="shared" si="2"/>
        <v>46021</v>
      </c>
      <c r="W8" s="27">
        <f t="shared" si="2"/>
        <v>46022</v>
      </c>
      <c r="X8" s="25">
        <f t="shared" si="2"/>
        <v>46023</v>
      </c>
      <c r="Y8" s="26">
        <f t="shared" si="2"/>
        <v>46024</v>
      </c>
      <c r="Z8" s="26">
        <f t="shared" si="2"/>
        <v>46025</v>
      </c>
      <c r="AA8" s="25">
        <f t="shared" si="2"/>
        <v>46026</v>
      </c>
      <c r="AB8" s="26">
        <f t="shared" si="2"/>
        <v>46027</v>
      </c>
      <c r="AC8" s="26">
        <f t="shared" si="2"/>
        <v>46028</v>
      </c>
      <c r="AD8" s="27">
        <f t="shared" si="2"/>
        <v>46029</v>
      </c>
      <c r="AE8" s="26">
        <f t="shared" si="2"/>
        <v>46030</v>
      </c>
      <c r="AF8" s="26">
        <f t="shared" si="2"/>
        <v>46031</v>
      </c>
      <c r="AG8" s="29">
        <f t="shared" si="2"/>
        <v>46032</v>
      </c>
      <c r="AH8" s="25">
        <f t="shared" si="2"/>
        <v>46033</v>
      </c>
      <c r="AI8" s="26">
        <f t="shared" si="2"/>
        <v>46034</v>
      </c>
      <c r="AJ8" s="26">
        <f t="shared" si="2"/>
        <v>46035</v>
      </c>
      <c r="AK8" s="27">
        <f t="shared" si="2"/>
        <v>46036</v>
      </c>
      <c r="AL8" s="26">
        <f t="shared" si="2"/>
        <v>46037</v>
      </c>
      <c r="AM8" s="26">
        <f t="shared" si="2"/>
        <v>46038</v>
      </c>
      <c r="AN8" s="26">
        <f t="shared" si="2"/>
        <v>46039</v>
      </c>
      <c r="AO8" s="25">
        <f t="shared" si="2"/>
        <v>46040</v>
      </c>
      <c r="AP8" s="26">
        <f t="shared" si="2"/>
        <v>46041</v>
      </c>
      <c r="AQ8" s="26">
        <f t="shared" si="2"/>
        <v>46042</v>
      </c>
      <c r="AR8" s="18"/>
    </row>
    <row r="9" ht="20.25" customHeight="1">
      <c r="A9" s="30" t="s">
        <v>13</v>
      </c>
      <c r="B9" s="31" t="s">
        <v>14</v>
      </c>
      <c r="C9" s="32"/>
      <c r="D9" s="32"/>
      <c r="E9" s="33"/>
      <c r="F9" s="34"/>
      <c r="G9" s="35"/>
      <c r="H9" s="36"/>
      <c r="I9" s="37"/>
      <c r="J9" s="37"/>
      <c r="K9" s="37"/>
      <c r="L9" s="37"/>
      <c r="M9" s="38"/>
      <c r="N9" s="35"/>
      <c r="O9" s="35"/>
      <c r="P9" s="37"/>
      <c r="Q9" s="37"/>
      <c r="R9" s="37"/>
      <c r="S9" s="37"/>
      <c r="T9" s="38"/>
      <c r="U9" s="37"/>
      <c r="V9" s="37"/>
      <c r="W9" s="37"/>
      <c r="X9" s="38"/>
      <c r="Y9" s="37"/>
      <c r="Z9" s="37"/>
      <c r="AA9" s="38"/>
      <c r="AB9" s="37"/>
      <c r="AC9" s="37"/>
      <c r="AD9" s="37"/>
      <c r="AE9" s="37"/>
      <c r="AF9" s="37"/>
      <c r="AG9" s="39"/>
      <c r="AH9" s="38"/>
      <c r="AI9" s="37"/>
      <c r="AJ9" s="37"/>
      <c r="AK9" s="40"/>
      <c r="AL9" s="40"/>
      <c r="AM9" s="40"/>
      <c r="AN9" s="40"/>
      <c r="AO9" s="41"/>
      <c r="AP9" s="40"/>
      <c r="AQ9" s="40"/>
      <c r="AR9" s="42" t="s">
        <v>15</v>
      </c>
    </row>
    <row r="10" ht="30.75" customHeight="1">
      <c r="A10" s="43" t="s">
        <v>16</v>
      </c>
      <c r="B10" s="44" t="s">
        <v>17</v>
      </c>
      <c r="C10" s="45"/>
      <c r="D10" s="45"/>
      <c r="E10" s="45"/>
      <c r="F10" s="46"/>
      <c r="G10" s="35"/>
      <c r="H10" s="35"/>
      <c r="I10" s="47"/>
      <c r="J10" s="48"/>
      <c r="K10" s="48"/>
      <c r="L10" s="48"/>
      <c r="M10" s="38"/>
      <c r="N10" s="35"/>
      <c r="O10" s="35"/>
      <c r="P10" s="37"/>
      <c r="Q10" s="37"/>
      <c r="R10" s="37"/>
      <c r="S10" s="37"/>
      <c r="T10" s="38"/>
      <c r="U10" s="37"/>
      <c r="V10" s="37"/>
      <c r="W10" s="37"/>
      <c r="X10" s="38"/>
      <c r="Y10" s="37"/>
      <c r="Z10" s="37"/>
      <c r="AA10" s="38"/>
      <c r="AB10" s="37"/>
      <c r="AC10" s="37"/>
      <c r="AD10" s="37"/>
      <c r="AE10" s="37"/>
      <c r="AF10" s="37"/>
      <c r="AG10" s="39"/>
      <c r="AH10" s="38"/>
      <c r="AI10" s="37"/>
      <c r="AJ10" s="37"/>
      <c r="AK10" s="42"/>
      <c r="AL10" s="42"/>
      <c r="AM10" s="42"/>
      <c r="AN10" s="42"/>
      <c r="AO10" s="49"/>
      <c r="AP10" s="42"/>
      <c r="AQ10" s="42"/>
      <c r="AR10" s="42" t="s">
        <v>15</v>
      </c>
    </row>
    <row r="11" ht="21.75" customHeight="1">
      <c r="A11" s="50"/>
      <c r="B11" s="51"/>
      <c r="C11" s="51"/>
      <c r="D11" s="51"/>
      <c r="E11" s="51"/>
      <c r="F11" s="52"/>
      <c r="G11" s="53" t="s">
        <v>18</v>
      </c>
      <c r="H11" s="33"/>
      <c r="I11" s="47"/>
      <c r="J11" s="48"/>
      <c r="K11" s="48"/>
      <c r="L11" s="48"/>
      <c r="M11" s="38"/>
      <c r="N11" s="37"/>
      <c r="O11" s="37"/>
      <c r="P11" s="37"/>
      <c r="Q11" s="37"/>
      <c r="R11" s="37"/>
      <c r="S11" s="37"/>
      <c r="T11" s="38"/>
      <c r="U11" s="37"/>
      <c r="V11" s="37"/>
      <c r="W11" s="37"/>
      <c r="X11" s="38"/>
      <c r="Y11" s="37"/>
      <c r="Z11" s="37"/>
      <c r="AA11" s="38"/>
      <c r="AB11" s="37"/>
      <c r="AC11" s="37"/>
      <c r="AD11" s="37"/>
      <c r="AE11" s="37"/>
      <c r="AF11" s="37"/>
      <c r="AG11" s="39"/>
      <c r="AH11" s="38"/>
      <c r="AI11" s="37"/>
      <c r="AJ11" s="37"/>
      <c r="AK11" s="54"/>
      <c r="AL11" s="54"/>
      <c r="AM11" s="54"/>
      <c r="AN11" s="54"/>
      <c r="AO11" s="55"/>
      <c r="AP11" s="54"/>
      <c r="AQ11" s="54"/>
      <c r="AR11" s="54"/>
    </row>
    <row r="12" ht="20.25" customHeight="1">
      <c r="A12" s="56"/>
      <c r="B12" s="51"/>
      <c r="C12" s="51"/>
      <c r="D12" s="51"/>
      <c r="E12" s="51"/>
      <c r="F12" s="52"/>
      <c r="G12" s="57" t="s">
        <v>19</v>
      </c>
      <c r="H12" s="33"/>
      <c r="I12" s="47"/>
      <c r="J12" s="48"/>
      <c r="K12" s="48"/>
      <c r="L12" s="47"/>
      <c r="M12" s="34"/>
      <c r="N12" s="51"/>
      <c r="O12" s="51"/>
      <c r="P12" s="37"/>
      <c r="Q12" s="37"/>
      <c r="R12" s="37"/>
      <c r="S12" s="37"/>
      <c r="T12" s="38"/>
      <c r="U12" s="37"/>
      <c r="V12" s="37"/>
      <c r="W12" s="37"/>
      <c r="X12" s="38"/>
      <c r="Y12" s="37"/>
      <c r="Z12" s="37"/>
      <c r="AA12" s="38"/>
      <c r="AB12" s="37"/>
      <c r="AC12" s="37"/>
      <c r="AD12" s="37"/>
      <c r="AE12" s="37"/>
      <c r="AF12" s="37"/>
      <c r="AG12" s="39"/>
      <c r="AH12" s="38"/>
      <c r="AI12" s="37"/>
      <c r="AJ12" s="37"/>
      <c r="AK12" s="58"/>
      <c r="AL12" s="58"/>
      <c r="AM12" s="58"/>
      <c r="AN12" s="58"/>
      <c r="AO12" s="59"/>
      <c r="AP12" s="58"/>
      <c r="AQ12" s="58"/>
      <c r="AR12" s="58"/>
    </row>
    <row r="13" ht="20.25" customHeight="1">
      <c r="A13" s="60" t="s">
        <v>13</v>
      </c>
      <c r="B13" s="37"/>
      <c r="C13" s="37"/>
      <c r="D13" s="51"/>
      <c r="E13" s="37"/>
      <c r="F13" s="52"/>
      <c r="G13" s="61" t="s">
        <v>20</v>
      </c>
      <c r="H13" s="33"/>
      <c r="I13" s="62"/>
      <c r="J13" s="35"/>
      <c r="K13" s="35"/>
      <c r="L13" s="62"/>
      <c r="M13" s="34"/>
      <c r="N13" s="51"/>
      <c r="O13" s="51"/>
      <c r="P13" s="37"/>
      <c r="Q13" s="37"/>
      <c r="R13" s="37"/>
      <c r="S13" s="37"/>
      <c r="T13" s="38"/>
      <c r="U13" s="37"/>
      <c r="V13" s="37"/>
      <c r="W13" s="37"/>
      <c r="X13" s="38"/>
      <c r="Y13" s="37"/>
      <c r="Z13" s="37"/>
      <c r="AA13" s="38"/>
      <c r="AB13" s="37"/>
      <c r="AC13" s="37"/>
      <c r="AD13" s="37"/>
      <c r="AE13" s="37"/>
      <c r="AF13" s="37"/>
      <c r="AG13" s="39"/>
      <c r="AH13" s="38"/>
      <c r="AI13" s="37"/>
      <c r="AJ13" s="37"/>
      <c r="AK13" s="58"/>
      <c r="AL13" s="58"/>
      <c r="AM13" s="58"/>
      <c r="AN13" s="58"/>
      <c r="AO13" s="59"/>
      <c r="AP13" s="58"/>
      <c r="AQ13" s="58"/>
      <c r="AR13" s="54" t="s">
        <v>21</v>
      </c>
    </row>
    <row r="14" ht="20.25" customHeight="1">
      <c r="A14" s="63"/>
      <c r="B14" s="37"/>
      <c r="C14" s="37"/>
      <c r="D14" s="37"/>
      <c r="E14" s="37"/>
      <c r="F14" s="38"/>
      <c r="G14" s="64"/>
      <c r="H14" s="61" t="s">
        <v>22</v>
      </c>
      <c r="I14" s="32"/>
      <c r="J14" s="32"/>
      <c r="K14" s="33"/>
      <c r="L14" s="62"/>
      <c r="M14" s="65"/>
      <c r="N14" s="35"/>
      <c r="O14" s="35"/>
      <c r="P14" s="37"/>
      <c r="Q14" s="37"/>
      <c r="R14" s="37"/>
      <c r="S14" s="37"/>
      <c r="T14" s="38"/>
      <c r="U14" s="37"/>
      <c r="V14" s="37"/>
      <c r="W14" s="37"/>
      <c r="X14" s="38"/>
      <c r="Y14" s="37"/>
      <c r="Z14" s="37"/>
      <c r="AA14" s="38"/>
      <c r="AB14" s="37"/>
      <c r="AC14" s="37"/>
      <c r="AD14" s="37"/>
      <c r="AE14" s="37"/>
      <c r="AF14" s="37"/>
      <c r="AG14" s="39"/>
      <c r="AH14" s="38"/>
      <c r="AI14" s="37"/>
      <c r="AJ14" s="37"/>
      <c r="AK14" s="58"/>
      <c r="AL14" s="58"/>
      <c r="AM14" s="58"/>
      <c r="AN14" s="58"/>
      <c r="AO14" s="59"/>
      <c r="AP14" s="58"/>
      <c r="AQ14" s="58"/>
      <c r="AR14" s="54" t="s">
        <v>21</v>
      </c>
    </row>
    <row r="15" ht="20.25" customHeight="1">
      <c r="A15" s="66" t="s">
        <v>16</v>
      </c>
      <c r="B15" s="37"/>
      <c r="C15" s="37"/>
      <c r="D15" s="37"/>
      <c r="E15" s="37"/>
      <c r="F15" s="38"/>
      <c r="G15" s="67"/>
      <c r="H15" s="53" t="s">
        <v>23</v>
      </c>
      <c r="I15" s="32"/>
      <c r="J15" s="32"/>
      <c r="K15" s="33"/>
      <c r="L15" s="62"/>
      <c r="M15" s="68"/>
      <c r="N15" s="35"/>
      <c r="O15" s="37"/>
      <c r="P15" s="37"/>
      <c r="Q15" s="37"/>
      <c r="R15" s="37"/>
      <c r="S15" s="37"/>
      <c r="T15" s="38"/>
      <c r="U15" s="37"/>
      <c r="V15" s="37"/>
      <c r="W15" s="37"/>
      <c r="X15" s="38"/>
      <c r="Y15" s="37"/>
      <c r="Z15" s="37"/>
      <c r="AA15" s="38"/>
      <c r="AB15" s="37"/>
      <c r="AC15" s="37"/>
      <c r="AD15" s="37"/>
      <c r="AE15" s="37"/>
      <c r="AF15" s="37"/>
      <c r="AG15" s="39"/>
      <c r="AH15" s="38"/>
      <c r="AI15" s="37"/>
      <c r="AJ15" s="37"/>
      <c r="AK15" s="58"/>
      <c r="AL15" s="58"/>
      <c r="AM15" s="58"/>
      <c r="AN15" s="58"/>
      <c r="AO15" s="59"/>
      <c r="AP15" s="58"/>
      <c r="AQ15" s="58"/>
      <c r="AR15" s="58"/>
    </row>
    <row r="16" ht="20.25" customHeight="1">
      <c r="A16" s="63"/>
      <c r="B16" s="37"/>
      <c r="C16" s="37"/>
      <c r="D16" s="37"/>
      <c r="E16" s="37"/>
      <c r="F16" s="38"/>
      <c r="G16" s="37"/>
      <c r="H16" s="51"/>
      <c r="I16" s="51"/>
      <c r="J16" s="64"/>
      <c r="K16" s="64"/>
      <c r="L16" s="69" t="s">
        <v>24</v>
      </c>
      <c r="M16" s="32"/>
      <c r="N16" s="33"/>
      <c r="O16" s="62"/>
      <c r="P16" s="70"/>
      <c r="Q16" s="37"/>
      <c r="R16" s="37"/>
      <c r="S16" s="37"/>
      <c r="T16" s="38"/>
      <c r="U16" s="37"/>
      <c r="V16" s="37"/>
      <c r="W16" s="37"/>
      <c r="X16" s="38"/>
      <c r="Y16" s="37"/>
      <c r="Z16" s="37"/>
      <c r="AA16" s="38"/>
      <c r="AB16" s="37"/>
      <c r="AC16" s="37"/>
      <c r="AD16" s="37"/>
      <c r="AE16" s="37"/>
      <c r="AF16" s="37"/>
      <c r="AG16" s="39"/>
      <c r="AH16" s="38"/>
      <c r="AI16" s="37"/>
      <c r="AJ16" s="37"/>
      <c r="AK16" s="58"/>
      <c r="AL16" s="58"/>
      <c r="AM16" s="58"/>
      <c r="AN16" s="58"/>
      <c r="AO16" s="59"/>
      <c r="AP16" s="58"/>
      <c r="AQ16" s="58"/>
      <c r="AR16" s="58"/>
    </row>
    <row r="17" ht="20.25" customHeight="1">
      <c r="A17" s="60" t="s">
        <v>13</v>
      </c>
      <c r="B17" s="37"/>
      <c r="C17" s="37"/>
      <c r="D17" s="37"/>
      <c r="E17" s="37"/>
      <c r="F17" s="38"/>
      <c r="G17" s="37"/>
      <c r="H17" s="37"/>
      <c r="I17" s="37"/>
      <c r="J17" s="37"/>
      <c r="K17" s="51"/>
      <c r="L17" s="51"/>
      <c r="M17" s="71"/>
      <c r="N17" s="64"/>
      <c r="O17" s="72" t="s">
        <v>25</v>
      </c>
      <c r="P17" s="62"/>
      <c r="Q17" s="35"/>
      <c r="R17" s="35"/>
      <c r="S17" s="35"/>
      <c r="T17" s="38"/>
      <c r="U17" s="37"/>
      <c r="V17" s="37"/>
      <c r="W17" s="37"/>
      <c r="X17" s="38"/>
      <c r="Y17" s="37"/>
      <c r="Z17" s="37"/>
      <c r="AA17" s="38"/>
      <c r="AB17" s="37"/>
      <c r="AC17" s="37"/>
      <c r="AD17" s="37"/>
      <c r="AE17" s="37"/>
      <c r="AF17" s="37"/>
      <c r="AG17" s="39"/>
      <c r="AH17" s="38"/>
      <c r="AI17" s="37"/>
      <c r="AJ17" s="37"/>
      <c r="AK17" s="58"/>
      <c r="AL17" s="58"/>
      <c r="AM17" s="58"/>
      <c r="AN17" s="58"/>
      <c r="AO17" s="59"/>
      <c r="AP17" s="58"/>
      <c r="AQ17" s="58"/>
      <c r="AR17" s="58"/>
    </row>
    <row r="18" ht="31.5" customHeight="1">
      <c r="A18" s="63"/>
      <c r="B18" s="37"/>
      <c r="C18" s="37"/>
      <c r="D18" s="37"/>
      <c r="E18" s="37"/>
      <c r="F18" s="38"/>
      <c r="G18" s="37"/>
      <c r="H18" s="37"/>
      <c r="I18" s="37"/>
      <c r="J18" s="37"/>
      <c r="K18" s="37"/>
      <c r="L18" s="37"/>
      <c r="M18" s="38"/>
      <c r="N18" s="37"/>
      <c r="O18" s="64"/>
      <c r="P18" s="61" t="s">
        <v>26</v>
      </c>
      <c r="Q18" s="32"/>
      <c r="R18" s="32"/>
      <c r="S18" s="33"/>
      <c r="T18" s="34"/>
      <c r="U18" s="35"/>
      <c r="V18" s="35"/>
      <c r="W18" s="37"/>
      <c r="X18" s="38"/>
      <c r="Y18" s="37"/>
      <c r="Z18" s="37"/>
      <c r="AA18" s="38"/>
      <c r="AB18" s="37"/>
      <c r="AC18" s="37"/>
      <c r="AD18" s="37"/>
      <c r="AE18" s="37"/>
      <c r="AF18" s="37"/>
      <c r="AG18" s="39"/>
      <c r="AH18" s="38"/>
      <c r="AI18" s="37"/>
      <c r="AJ18" s="37"/>
      <c r="AK18" s="58"/>
      <c r="AL18" s="58"/>
      <c r="AM18" s="58"/>
      <c r="AN18" s="58"/>
      <c r="AO18" s="59"/>
      <c r="AP18" s="58"/>
      <c r="AQ18" s="58"/>
      <c r="AR18" s="58"/>
    </row>
    <row r="19" ht="20.25" customHeight="1">
      <c r="A19" s="73" t="s">
        <v>16</v>
      </c>
      <c r="B19" s="37"/>
      <c r="C19" s="37"/>
      <c r="D19" s="37"/>
      <c r="E19" s="37"/>
      <c r="F19" s="38"/>
      <c r="G19" s="37"/>
      <c r="H19" s="37"/>
      <c r="I19" s="37"/>
      <c r="J19" s="37"/>
      <c r="K19" s="37"/>
      <c r="L19" s="37"/>
      <c r="M19" s="38"/>
      <c r="N19" s="37"/>
      <c r="O19" s="37"/>
      <c r="P19" s="51"/>
      <c r="Q19" s="51"/>
      <c r="R19" s="51"/>
      <c r="S19" s="51"/>
      <c r="T19" s="52"/>
      <c r="U19" s="53" t="s">
        <v>24</v>
      </c>
      <c r="V19" s="33"/>
      <c r="W19" s="62"/>
      <c r="X19" s="38"/>
      <c r="Y19" s="37"/>
      <c r="Z19" s="37"/>
      <c r="AA19" s="38"/>
      <c r="AB19" s="37"/>
      <c r="AC19" s="37"/>
      <c r="AD19" s="37"/>
      <c r="AE19" s="37"/>
      <c r="AF19" s="37"/>
      <c r="AG19" s="39"/>
      <c r="AH19" s="38"/>
      <c r="AI19" s="37"/>
      <c r="AJ19" s="37"/>
      <c r="AK19" s="58"/>
      <c r="AL19" s="58"/>
      <c r="AM19" s="58"/>
      <c r="AN19" s="58"/>
      <c r="AO19" s="59"/>
      <c r="AP19" s="58"/>
      <c r="AQ19" s="58"/>
      <c r="AR19" s="58"/>
    </row>
    <row r="20" ht="42.0" customHeight="1">
      <c r="A20" s="30" t="s">
        <v>13</v>
      </c>
      <c r="B20" s="37"/>
      <c r="C20" s="37"/>
      <c r="D20" s="37"/>
      <c r="E20" s="37"/>
      <c r="F20" s="38"/>
      <c r="G20" s="37"/>
      <c r="H20" s="37"/>
      <c r="I20" s="37"/>
      <c r="J20" s="37"/>
      <c r="K20" s="37"/>
      <c r="L20" s="37"/>
      <c r="M20" s="38"/>
      <c r="N20" s="37"/>
      <c r="O20" s="37"/>
      <c r="P20" s="37"/>
      <c r="Q20" s="37"/>
      <c r="R20" s="37"/>
      <c r="S20" s="37"/>
      <c r="T20" s="38"/>
      <c r="U20" s="51"/>
      <c r="V20" s="64"/>
      <c r="W20" s="72" t="s">
        <v>27</v>
      </c>
      <c r="X20" s="34"/>
      <c r="Y20" s="35"/>
      <c r="Z20" s="35"/>
      <c r="AA20" s="68"/>
      <c r="AB20" s="35"/>
      <c r="AC20" s="35"/>
      <c r="AD20" s="37"/>
      <c r="AE20" s="37"/>
      <c r="AF20" s="37"/>
      <c r="AG20" s="39"/>
      <c r="AH20" s="38"/>
      <c r="AI20" s="37"/>
      <c r="AJ20" s="37"/>
      <c r="AK20" s="58"/>
      <c r="AL20" s="58"/>
      <c r="AM20" s="58"/>
      <c r="AN20" s="58"/>
      <c r="AO20" s="59"/>
      <c r="AP20" s="58"/>
      <c r="AQ20" s="58"/>
      <c r="AR20" s="58"/>
    </row>
    <row r="21">
      <c r="A21" s="73" t="s">
        <v>16</v>
      </c>
      <c r="B21" s="37"/>
      <c r="C21" s="37"/>
      <c r="D21" s="37"/>
      <c r="E21" s="37"/>
      <c r="F21" s="38"/>
      <c r="G21" s="37"/>
      <c r="H21" s="37"/>
      <c r="I21" s="37"/>
      <c r="J21" s="37"/>
      <c r="K21" s="37"/>
      <c r="L21" s="37"/>
      <c r="M21" s="38"/>
      <c r="N21" s="37"/>
      <c r="O21" s="37"/>
      <c r="P21" s="37"/>
      <c r="Q21" s="37"/>
      <c r="R21" s="37"/>
      <c r="S21" s="37"/>
      <c r="T21" s="38"/>
      <c r="U21" s="37"/>
      <c r="V21" s="37"/>
      <c r="W21" s="51"/>
      <c r="X21" s="52"/>
      <c r="Y21" s="53" t="s">
        <v>28</v>
      </c>
      <c r="Z21" s="32"/>
      <c r="AA21" s="32"/>
      <c r="AB21" s="32"/>
      <c r="AC21" s="33"/>
      <c r="AD21" s="70"/>
      <c r="AE21" s="37"/>
      <c r="AF21" s="37"/>
      <c r="AG21" s="39"/>
      <c r="AH21" s="38"/>
      <c r="AI21" s="37"/>
      <c r="AJ21" s="37"/>
      <c r="AK21" s="58"/>
      <c r="AL21" s="58"/>
      <c r="AM21" s="58"/>
      <c r="AN21" s="58"/>
      <c r="AO21" s="59"/>
      <c r="AP21" s="58"/>
      <c r="AQ21" s="58"/>
      <c r="AR21" s="58"/>
    </row>
    <row r="22" ht="29.25" customHeight="1">
      <c r="A22" s="74" t="s">
        <v>13</v>
      </c>
      <c r="B22" s="37"/>
      <c r="C22" s="37"/>
      <c r="D22" s="37"/>
      <c r="E22" s="37"/>
      <c r="F22" s="38"/>
      <c r="G22" s="37"/>
      <c r="H22" s="37"/>
      <c r="I22" s="37"/>
      <c r="J22" s="37"/>
      <c r="K22" s="37"/>
      <c r="L22" s="37"/>
      <c r="M22" s="38"/>
      <c r="N22" s="37"/>
      <c r="O22" s="37"/>
      <c r="P22" s="37"/>
      <c r="Q22" s="37"/>
      <c r="R22" s="37"/>
      <c r="S22" s="37"/>
      <c r="T22" s="38"/>
      <c r="U22" s="37"/>
      <c r="V22" s="37"/>
      <c r="W22" s="37"/>
      <c r="X22" s="52"/>
      <c r="Y22" s="37"/>
      <c r="Z22" s="37"/>
      <c r="AA22" s="38"/>
      <c r="AB22" s="37"/>
      <c r="AC22" s="67"/>
      <c r="AD22" s="61" t="s">
        <v>29</v>
      </c>
      <c r="AE22" s="33"/>
      <c r="AF22" s="62"/>
      <c r="AG22" s="39"/>
      <c r="AH22" s="38"/>
      <c r="AI22" s="37"/>
      <c r="AJ22" s="37"/>
      <c r="AK22" s="58"/>
      <c r="AL22" s="58"/>
      <c r="AM22" s="58"/>
      <c r="AN22" s="58"/>
      <c r="AO22" s="59"/>
      <c r="AP22" s="58"/>
      <c r="AQ22" s="58"/>
      <c r="AR22" s="58"/>
    </row>
    <row r="23" ht="30.75" customHeight="1">
      <c r="A23" s="50"/>
      <c r="B23" s="37"/>
      <c r="C23" s="37"/>
      <c r="D23" s="37"/>
      <c r="E23" s="37"/>
      <c r="F23" s="38"/>
      <c r="G23" s="37"/>
      <c r="H23" s="37"/>
      <c r="I23" s="37"/>
      <c r="J23" s="37"/>
      <c r="K23" s="37"/>
      <c r="L23" s="37"/>
      <c r="M23" s="38"/>
      <c r="N23" s="37"/>
      <c r="O23" s="37"/>
      <c r="P23" s="37"/>
      <c r="Q23" s="37"/>
      <c r="R23" s="37"/>
      <c r="S23" s="37"/>
      <c r="T23" s="38"/>
      <c r="U23" s="37"/>
      <c r="V23" s="37"/>
      <c r="W23" s="37"/>
      <c r="X23" s="52"/>
      <c r="Y23" s="37"/>
      <c r="Z23" s="37"/>
      <c r="AA23" s="38"/>
      <c r="AB23" s="37"/>
      <c r="AC23" s="37"/>
      <c r="AD23" s="51"/>
      <c r="AE23" s="64"/>
      <c r="AF23" s="72" t="s">
        <v>30</v>
      </c>
      <c r="AG23" s="75"/>
      <c r="AH23" s="38"/>
      <c r="AI23" s="37"/>
      <c r="AJ23" s="37"/>
      <c r="AK23" s="58"/>
      <c r="AL23" s="58"/>
      <c r="AM23" s="58"/>
      <c r="AN23" s="58"/>
      <c r="AO23" s="59"/>
      <c r="AP23" s="58"/>
      <c r="AQ23" s="58"/>
      <c r="AR23" s="58"/>
    </row>
    <row r="24">
      <c r="A24" s="50"/>
      <c r="B24" s="37"/>
      <c r="C24" s="37"/>
      <c r="D24" s="37"/>
      <c r="E24" s="37"/>
      <c r="F24" s="38"/>
      <c r="G24" s="37"/>
      <c r="H24" s="37"/>
      <c r="I24" s="37"/>
      <c r="J24" s="37"/>
      <c r="K24" s="37"/>
      <c r="L24" s="37"/>
      <c r="M24" s="38"/>
      <c r="N24" s="37"/>
      <c r="O24" s="37"/>
      <c r="P24" s="37"/>
      <c r="Q24" s="37"/>
      <c r="R24" s="37"/>
      <c r="S24" s="37"/>
      <c r="T24" s="38"/>
      <c r="U24" s="37"/>
      <c r="V24" s="37"/>
      <c r="W24" s="37"/>
      <c r="X24" s="52"/>
      <c r="Y24" s="37"/>
      <c r="Z24" s="37"/>
      <c r="AA24" s="38"/>
      <c r="AB24" s="37"/>
      <c r="AC24" s="37"/>
      <c r="AD24" s="37"/>
      <c r="AE24" s="67"/>
      <c r="AF24" s="72" t="s">
        <v>31</v>
      </c>
      <c r="AG24" s="76"/>
      <c r="AH24" s="38"/>
      <c r="AI24" s="37"/>
      <c r="AJ24" s="37"/>
      <c r="AK24" s="58"/>
      <c r="AL24" s="58"/>
      <c r="AM24" s="58"/>
      <c r="AN24" s="58"/>
      <c r="AO24" s="59"/>
      <c r="AP24" s="58"/>
      <c r="AQ24" s="58"/>
      <c r="AR24" s="58"/>
    </row>
    <row r="25">
      <c r="A25" s="56"/>
      <c r="B25" s="37"/>
      <c r="C25" s="37"/>
      <c r="D25" s="37"/>
      <c r="E25" s="37"/>
      <c r="F25" s="38"/>
      <c r="G25" s="37"/>
      <c r="H25" s="37"/>
      <c r="I25" s="37"/>
      <c r="J25" s="37"/>
      <c r="K25" s="37"/>
      <c r="L25" s="37"/>
      <c r="M25" s="38"/>
      <c r="N25" s="37"/>
      <c r="O25" s="37"/>
      <c r="P25" s="37"/>
      <c r="Q25" s="37"/>
      <c r="R25" s="37"/>
      <c r="S25" s="37"/>
      <c r="T25" s="38"/>
      <c r="U25" s="37"/>
      <c r="V25" s="37"/>
      <c r="W25" s="37"/>
      <c r="X25" s="52"/>
      <c r="Y25" s="37"/>
      <c r="Z25" s="37"/>
      <c r="AA25" s="38"/>
      <c r="AB25" s="37"/>
      <c r="AC25" s="37"/>
      <c r="AD25" s="37"/>
      <c r="AE25" s="37"/>
      <c r="AF25" s="64"/>
      <c r="AG25" s="72" t="s">
        <v>32</v>
      </c>
      <c r="AH25" s="34"/>
      <c r="AI25" s="37"/>
      <c r="AJ25" s="37"/>
      <c r="AK25" s="58"/>
      <c r="AL25" s="58"/>
      <c r="AM25" s="58"/>
      <c r="AN25" s="58"/>
      <c r="AO25" s="59"/>
      <c r="AP25" s="58"/>
      <c r="AQ25" s="58"/>
      <c r="AR25" s="58"/>
    </row>
    <row r="26">
      <c r="A26" s="73" t="s">
        <v>16</v>
      </c>
      <c r="B26" s="37"/>
      <c r="C26" s="37"/>
      <c r="D26" s="37"/>
      <c r="E26" s="37"/>
      <c r="F26" s="38"/>
      <c r="G26" s="37"/>
      <c r="H26" s="37"/>
      <c r="I26" s="37"/>
      <c r="J26" s="37"/>
      <c r="K26" s="37"/>
      <c r="L26" s="37"/>
      <c r="M26" s="38"/>
      <c r="N26" s="37"/>
      <c r="O26" s="37"/>
      <c r="P26" s="37"/>
      <c r="Q26" s="37"/>
      <c r="R26" s="37"/>
      <c r="S26" s="37"/>
      <c r="T26" s="38"/>
      <c r="U26" s="37"/>
      <c r="V26" s="37"/>
      <c r="W26" s="37"/>
      <c r="X26" s="52"/>
      <c r="Y26" s="37"/>
      <c r="Z26" s="37"/>
      <c r="AA26" s="38"/>
      <c r="AB26" s="37"/>
      <c r="AC26" s="37"/>
      <c r="AD26" s="37"/>
      <c r="AE26" s="37"/>
      <c r="AF26" s="37"/>
      <c r="AG26" s="77" t="s">
        <v>33</v>
      </c>
      <c r="AH26" s="38"/>
      <c r="AI26" s="37"/>
      <c r="AJ26" s="37"/>
      <c r="AK26" s="58"/>
      <c r="AL26" s="58"/>
      <c r="AM26" s="78"/>
      <c r="AN26" s="58"/>
      <c r="AO26" s="59"/>
      <c r="AP26" s="58"/>
      <c r="AQ26" s="58"/>
      <c r="AR26" s="58"/>
    </row>
    <row r="27">
      <c r="A27" s="74" t="s">
        <v>13</v>
      </c>
      <c r="B27" s="37"/>
      <c r="C27" s="37"/>
      <c r="D27" s="37"/>
      <c r="E27" s="37"/>
      <c r="F27" s="38"/>
      <c r="G27" s="37"/>
      <c r="H27" s="37"/>
      <c r="I27" s="37"/>
      <c r="J27" s="37"/>
      <c r="K27" s="37"/>
      <c r="L27" s="37"/>
      <c r="M27" s="38"/>
      <c r="N27" s="37"/>
      <c r="O27" s="37"/>
      <c r="P27" s="37"/>
      <c r="Q27" s="37"/>
      <c r="R27" s="37"/>
      <c r="S27" s="37"/>
      <c r="T27" s="38"/>
      <c r="U27" s="37"/>
      <c r="V27" s="37"/>
      <c r="W27" s="37"/>
      <c r="X27" s="52"/>
      <c r="Y27" s="37"/>
      <c r="Z27" s="37"/>
      <c r="AA27" s="38"/>
      <c r="AB27" s="37"/>
      <c r="AC27" s="37"/>
      <c r="AD27" s="37"/>
      <c r="AE27" s="37"/>
      <c r="AF27" s="37"/>
      <c r="AG27" s="39"/>
      <c r="AH27" s="38"/>
      <c r="AI27" s="37"/>
      <c r="AJ27" s="37"/>
      <c r="AK27" s="58"/>
      <c r="AL27" s="79"/>
      <c r="AM27" s="72" t="s">
        <v>34</v>
      </c>
      <c r="AN27" s="80"/>
      <c r="AO27" s="59"/>
      <c r="AP27" s="58"/>
      <c r="AQ27" s="58"/>
      <c r="AR27" s="58"/>
    </row>
    <row r="28">
      <c r="A28" s="81" t="s">
        <v>16</v>
      </c>
      <c r="B28" s="70"/>
      <c r="C28" s="37"/>
      <c r="D28" s="37"/>
      <c r="E28" s="37"/>
      <c r="F28" s="38"/>
      <c r="G28" s="37"/>
      <c r="H28" s="37"/>
      <c r="I28" s="37"/>
      <c r="J28" s="37"/>
      <c r="K28" s="37"/>
      <c r="L28" s="37"/>
      <c r="M28" s="38"/>
      <c r="N28" s="37"/>
      <c r="O28" s="37"/>
      <c r="P28" s="37"/>
      <c r="Q28" s="37"/>
      <c r="R28" s="37"/>
      <c r="S28" s="37"/>
      <c r="T28" s="38"/>
      <c r="U28" s="37"/>
      <c r="V28" s="37"/>
      <c r="W28" s="37"/>
      <c r="X28" s="52"/>
      <c r="Y28" s="37"/>
      <c r="Z28" s="37"/>
      <c r="AA28" s="38"/>
      <c r="AB28" s="37"/>
      <c r="AC28" s="37"/>
      <c r="AD28" s="37"/>
      <c r="AE28" s="37"/>
      <c r="AF28" s="37"/>
      <c r="AG28" s="39"/>
      <c r="AH28" s="38"/>
      <c r="AI28" s="37"/>
      <c r="AJ28" s="37"/>
      <c r="AK28" s="58"/>
      <c r="AL28" s="79"/>
      <c r="AM28" s="77" t="s">
        <v>34</v>
      </c>
      <c r="AN28" s="80"/>
      <c r="AO28" s="59"/>
      <c r="AP28" s="58"/>
      <c r="AQ28" s="78"/>
      <c r="AR28" s="58"/>
    </row>
    <row r="29">
      <c r="A29" s="82"/>
      <c r="B29" s="70"/>
      <c r="C29" s="37"/>
      <c r="D29" s="37"/>
      <c r="E29" s="37"/>
      <c r="F29" s="38"/>
      <c r="G29" s="37"/>
      <c r="H29" s="37"/>
      <c r="I29" s="37"/>
      <c r="J29" s="37"/>
      <c r="K29" s="37"/>
      <c r="L29" s="37"/>
      <c r="M29" s="38"/>
      <c r="N29" s="37"/>
      <c r="O29" s="37"/>
      <c r="P29" s="37"/>
      <c r="Q29" s="37"/>
      <c r="R29" s="37"/>
      <c r="S29" s="37"/>
      <c r="T29" s="38"/>
      <c r="U29" s="37"/>
      <c r="V29" s="37"/>
      <c r="W29" s="37"/>
      <c r="X29" s="52"/>
      <c r="Y29" s="37"/>
      <c r="Z29" s="37"/>
      <c r="AA29" s="38"/>
      <c r="AB29" s="37"/>
      <c r="AC29" s="37"/>
      <c r="AD29" s="37"/>
      <c r="AE29" s="37"/>
      <c r="AF29" s="37"/>
      <c r="AG29" s="39"/>
      <c r="AH29" s="38"/>
      <c r="AI29" s="37"/>
      <c r="AJ29" s="37"/>
      <c r="AK29" s="58"/>
      <c r="AL29" s="58"/>
      <c r="AM29" s="83"/>
      <c r="AN29" s="58"/>
      <c r="AO29" s="59"/>
      <c r="AP29" s="79"/>
      <c r="AQ29" s="77" t="s">
        <v>35</v>
      </c>
      <c r="AR29" s="80"/>
    </row>
    <row r="30">
      <c r="A30" s="84"/>
      <c r="B30" s="37"/>
      <c r="C30" s="37"/>
      <c r="D30" s="37"/>
      <c r="E30" s="37"/>
      <c r="F30" s="38"/>
      <c r="G30" s="37"/>
      <c r="H30" s="37"/>
      <c r="I30" s="37"/>
      <c r="J30" s="37"/>
      <c r="K30" s="37"/>
      <c r="L30" s="37"/>
      <c r="M30" s="38"/>
      <c r="N30" s="37"/>
      <c r="O30" s="37"/>
      <c r="P30" s="37"/>
      <c r="Q30" s="37"/>
      <c r="R30" s="37"/>
      <c r="S30" s="37"/>
      <c r="T30" s="38"/>
      <c r="U30" s="37"/>
      <c r="V30" s="37"/>
      <c r="W30" s="37"/>
      <c r="X30" s="52"/>
      <c r="Y30" s="37"/>
      <c r="Z30" s="37"/>
      <c r="AA30" s="38"/>
      <c r="AB30" s="37"/>
      <c r="AC30" s="37"/>
      <c r="AD30" s="37"/>
      <c r="AE30" s="37"/>
      <c r="AF30" s="37"/>
      <c r="AG30" s="39"/>
      <c r="AH30" s="38"/>
      <c r="AI30" s="37"/>
      <c r="AJ30" s="37"/>
      <c r="AK30" s="58"/>
      <c r="AL30" s="58"/>
      <c r="AM30" s="58"/>
      <c r="AN30" s="58"/>
      <c r="AO30" s="59"/>
      <c r="AP30" s="58"/>
      <c r="AQ30" s="83"/>
      <c r="AR30" s="58"/>
    </row>
    <row r="31">
      <c r="A31" s="85"/>
      <c r="B31" s="37"/>
      <c r="C31" s="37"/>
      <c r="D31" s="37"/>
      <c r="E31" s="37"/>
      <c r="F31" s="38"/>
      <c r="G31" s="37"/>
      <c r="H31" s="37"/>
      <c r="I31" s="37"/>
      <c r="J31" s="37"/>
      <c r="K31" s="37"/>
      <c r="L31" s="37"/>
      <c r="M31" s="38"/>
      <c r="N31" s="37"/>
      <c r="O31" s="37"/>
      <c r="P31" s="37"/>
      <c r="Q31" s="37"/>
      <c r="R31" s="37"/>
      <c r="S31" s="37"/>
      <c r="T31" s="38"/>
      <c r="U31" s="37"/>
      <c r="V31" s="37"/>
      <c r="W31" s="37"/>
      <c r="X31" s="52"/>
      <c r="Y31" s="37"/>
      <c r="Z31" s="37"/>
      <c r="AA31" s="38"/>
      <c r="AB31" s="37"/>
      <c r="AC31" s="37"/>
      <c r="AD31" s="37"/>
      <c r="AE31" s="37"/>
      <c r="AF31" s="37"/>
      <c r="AG31" s="39"/>
      <c r="AH31" s="38"/>
      <c r="AI31" s="37"/>
      <c r="AJ31" s="37"/>
      <c r="AK31" s="58"/>
      <c r="AL31" s="58"/>
      <c r="AM31" s="58"/>
      <c r="AN31" s="58"/>
      <c r="AO31" s="59"/>
      <c r="AP31" s="58"/>
      <c r="AQ31" s="58"/>
      <c r="AR31" s="58"/>
    </row>
    <row r="32">
      <c r="A32" s="86"/>
      <c r="B32" s="37"/>
      <c r="C32" s="37"/>
      <c r="D32" s="37"/>
      <c r="E32" s="37"/>
      <c r="F32" s="38"/>
      <c r="G32" s="37"/>
      <c r="H32" s="37"/>
      <c r="I32" s="37"/>
      <c r="J32" s="37"/>
      <c r="K32" s="37"/>
      <c r="L32" s="37"/>
      <c r="M32" s="38"/>
      <c r="N32" s="37"/>
      <c r="O32" s="37"/>
      <c r="P32" s="37"/>
      <c r="Q32" s="37"/>
      <c r="R32" s="37"/>
      <c r="S32" s="37"/>
      <c r="T32" s="38"/>
      <c r="U32" s="37"/>
      <c r="V32" s="37"/>
      <c r="W32" s="37"/>
      <c r="X32" s="38"/>
      <c r="Y32" s="37"/>
      <c r="Z32" s="37"/>
      <c r="AA32" s="38"/>
      <c r="AB32" s="37"/>
      <c r="AC32" s="37"/>
      <c r="AD32" s="37"/>
      <c r="AE32" s="37"/>
      <c r="AF32" s="37"/>
      <c r="AG32" s="39"/>
      <c r="AH32" s="38"/>
      <c r="AI32" s="37"/>
      <c r="AJ32" s="37"/>
      <c r="AK32" s="58"/>
      <c r="AL32" s="58"/>
      <c r="AM32" s="58"/>
      <c r="AN32" s="58"/>
      <c r="AO32" s="59"/>
      <c r="AP32" s="58"/>
      <c r="AQ32" s="58"/>
      <c r="AR32" s="58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  <c r="AO1001" s="87"/>
      <c r="AP1001" s="87"/>
      <c r="AQ1001" s="87"/>
      <c r="AR1001" s="87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  <c r="AO1002" s="87"/>
      <c r="AP1002" s="87"/>
      <c r="AQ1002" s="87"/>
      <c r="AR1002" s="87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  <c r="AO1003" s="87"/>
      <c r="AP1003" s="87"/>
      <c r="AQ1003" s="87"/>
      <c r="AR1003" s="87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  <c r="AO1004" s="87"/>
      <c r="AP1004" s="87"/>
      <c r="AQ1004" s="87"/>
      <c r="AR1004" s="87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7"/>
      <c r="AD1005" s="87"/>
      <c r="AE1005" s="87"/>
      <c r="AF1005" s="87"/>
      <c r="AG1005" s="87"/>
      <c r="AH1005" s="87"/>
      <c r="AI1005" s="87"/>
      <c r="AJ1005" s="87"/>
      <c r="AK1005" s="87"/>
      <c r="AL1005" s="87"/>
      <c r="AM1005" s="87"/>
      <c r="AN1005" s="87"/>
      <c r="AO1005" s="87"/>
      <c r="AP1005" s="87"/>
      <c r="AQ1005" s="87"/>
      <c r="AR1005" s="87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7"/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87"/>
      <c r="AO1006" s="87"/>
      <c r="AP1006" s="87"/>
      <c r="AQ1006" s="87"/>
      <c r="AR1006" s="87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7"/>
      <c r="AD1007" s="87"/>
      <c r="AE1007" s="87"/>
      <c r="AF1007" s="87"/>
      <c r="AG1007" s="87"/>
      <c r="AH1007" s="87"/>
      <c r="AI1007" s="87"/>
      <c r="AJ1007" s="87"/>
      <c r="AK1007" s="87"/>
      <c r="AL1007" s="87"/>
      <c r="AM1007" s="87"/>
      <c r="AN1007" s="87"/>
      <c r="AO1007" s="87"/>
      <c r="AP1007" s="87"/>
      <c r="AQ1007" s="87"/>
      <c r="AR1007" s="87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7"/>
      <c r="AD1008" s="87"/>
      <c r="AE1008" s="87"/>
      <c r="AF1008" s="87"/>
      <c r="AG1008" s="87"/>
      <c r="AH1008" s="87"/>
      <c r="AI1008" s="87"/>
      <c r="AJ1008" s="87"/>
      <c r="AK1008" s="87"/>
      <c r="AL1008" s="87"/>
      <c r="AM1008" s="87"/>
      <c r="AN1008" s="87"/>
      <c r="AO1008" s="87"/>
      <c r="AP1008" s="87"/>
      <c r="AQ1008" s="87"/>
      <c r="AR1008" s="87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7"/>
      <c r="AD1009" s="87"/>
      <c r="AE1009" s="87"/>
      <c r="AF1009" s="87"/>
      <c r="AG1009" s="87"/>
      <c r="AH1009" s="87"/>
      <c r="AI1009" s="87"/>
      <c r="AJ1009" s="87"/>
      <c r="AK1009" s="87"/>
      <c r="AL1009" s="87"/>
      <c r="AM1009" s="87"/>
      <c r="AN1009" s="87"/>
      <c r="AO1009" s="87"/>
      <c r="AP1009" s="87"/>
      <c r="AQ1009" s="87"/>
      <c r="AR1009" s="87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7"/>
      <c r="AD1010" s="87"/>
      <c r="AE1010" s="87"/>
      <c r="AF1010" s="87"/>
      <c r="AG1010" s="87"/>
      <c r="AH1010" s="87"/>
      <c r="AI1010" s="87"/>
      <c r="AJ1010" s="87"/>
      <c r="AK1010" s="87"/>
      <c r="AL1010" s="87"/>
      <c r="AM1010" s="87"/>
      <c r="AN1010" s="87"/>
      <c r="AO1010" s="87"/>
      <c r="AP1010" s="87"/>
      <c r="AQ1010" s="87"/>
      <c r="AR1010" s="87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7"/>
      <c r="AD1011" s="87"/>
      <c r="AE1011" s="87"/>
      <c r="AF1011" s="87"/>
      <c r="AG1011" s="87"/>
      <c r="AH1011" s="87"/>
      <c r="AI1011" s="87"/>
      <c r="AJ1011" s="87"/>
      <c r="AK1011" s="87"/>
      <c r="AL1011" s="87"/>
      <c r="AM1011" s="87"/>
      <c r="AN1011" s="87"/>
      <c r="AO1011" s="87"/>
      <c r="AP1011" s="87"/>
      <c r="AQ1011" s="87"/>
      <c r="AR1011" s="87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87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7"/>
      <c r="AD1012" s="87"/>
      <c r="AE1012" s="87"/>
      <c r="AF1012" s="87"/>
      <c r="AG1012" s="87"/>
      <c r="AH1012" s="87"/>
      <c r="AI1012" s="87"/>
      <c r="AJ1012" s="87"/>
      <c r="AK1012" s="87"/>
      <c r="AL1012" s="87"/>
      <c r="AM1012" s="87"/>
      <c r="AN1012" s="87"/>
      <c r="AO1012" s="87"/>
      <c r="AP1012" s="87"/>
      <c r="AQ1012" s="87"/>
      <c r="AR1012" s="87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87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7"/>
      <c r="AD1013" s="87"/>
      <c r="AE1013" s="87"/>
      <c r="AF1013" s="87"/>
      <c r="AG1013" s="87"/>
      <c r="AH1013" s="87"/>
      <c r="AI1013" s="87"/>
      <c r="AJ1013" s="87"/>
      <c r="AK1013" s="87"/>
      <c r="AL1013" s="87"/>
      <c r="AM1013" s="87"/>
      <c r="AN1013" s="87"/>
      <c r="AO1013" s="87"/>
      <c r="AP1013" s="87"/>
      <c r="AQ1013" s="87"/>
      <c r="AR1013" s="87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87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7"/>
      <c r="AD1014" s="87"/>
      <c r="AE1014" s="87"/>
      <c r="AF1014" s="87"/>
      <c r="AG1014" s="87"/>
      <c r="AH1014" s="87"/>
      <c r="AI1014" s="87"/>
      <c r="AJ1014" s="87"/>
      <c r="AK1014" s="87"/>
      <c r="AL1014" s="87"/>
      <c r="AM1014" s="87"/>
      <c r="AN1014" s="87"/>
      <c r="AO1014" s="87"/>
      <c r="AP1014" s="87"/>
      <c r="AQ1014" s="87"/>
      <c r="AR1014" s="87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87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7"/>
      <c r="AD1015" s="87"/>
      <c r="AE1015" s="87"/>
      <c r="AF1015" s="87"/>
      <c r="AG1015" s="87"/>
      <c r="AH1015" s="87"/>
      <c r="AI1015" s="87"/>
      <c r="AJ1015" s="87"/>
      <c r="AK1015" s="87"/>
      <c r="AL1015" s="87"/>
      <c r="AM1015" s="87"/>
      <c r="AN1015" s="87"/>
      <c r="AO1015" s="87"/>
      <c r="AP1015" s="87"/>
      <c r="AQ1015" s="87"/>
      <c r="AR1015" s="87"/>
    </row>
  </sheetData>
  <mergeCells count="31">
    <mergeCell ref="I6:O6"/>
    <mergeCell ref="P6:V6"/>
    <mergeCell ref="W6:AC6"/>
    <mergeCell ref="AD6:AJ6"/>
    <mergeCell ref="A5:A8"/>
    <mergeCell ref="I5:O5"/>
    <mergeCell ref="P5:V5"/>
    <mergeCell ref="W5:AC5"/>
    <mergeCell ref="AD5:AJ5"/>
    <mergeCell ref="AK5:AQ5"/>
    <mergeCell ref="AR5:AR8"/>
    <mergeCell ref="AK6:AQ6"/>
    <mergeCell ref="G13:H13"/>
    <mergeCell ref="H14:K14"/>
    <mergeCell ref="H15:K15"/>
    <mergeCell ref="L16:N16"/>
    <mergeCell ref="P18:S18"/>
    <mergeCell ref="U19:V19"/>
    <mergeCell ref="Y21:AC21"/>
    <mergeCell ref="AD22:AE22"/>
    <mergeCell ref="A15:A16"/>
    <mergeCell ref="A17:A18"/>
    <mergeCell ref="A22:A25"/>
    <mergeCell ref="A28:A29"/>
    <mergeCell ref="B5:H5"/>
    <mergeCell ref="B6:H6"/>
    <mergeCell ref="B9:E9"/>
    <mergeCell ref="A10:A12"/>
    <mergeCell ref="G11:H11"/>
    <mergeCell ref="G12:H12"/>
    <mergeCell ref="A13:A14"/>
  </mergeCells>
  <dataValidations>
    <dataValidation type="list" allowBlank="1" showErrorMessage="1" sqref="AR9:AR32">
      <formula1>"Hoàn thành,Đang triển khai,Cần điều chỉnh,Chuẩn bị triển khai"</formula1>
    </dataValidation>
  </dataValidations>
  <hyperlinks>
    <hyperlink r:id="rId1" ref="G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17.63"/>
    <col customWidth="1" min="3" max="3" width="21.38"/>
    <col customWidth="1" min="4" max="5" width="22.63"/>
    <col customWidth="1" min="6" max="8" width="20.13"/>
    <col customWidth="1" min="9" max="9" width="34.63"/>
  </cols>
  <sheetData>
    <row r="1" ht="22.5" customHeight="1">
      <c r="A1" s="88" t="s">
        <v>36</v>
      </c>
      <c r="B1" s="88" t="s">
        <v>37</v>
      </c>
      <c r="C1" s="88" t="s">
        <v>38</v>
      </c>
      <c r="D1" s="88" t="s">
        <v>39</v>
      </c>
      <c r="E1" s="88" t="s">
        <v>40</v>
      </c>
      <c r="F1" s="88" t="s">
        <v>41</v>
      </c>
      <c r="G1" s="88" t="s">
        <v>42</v>
      </c>
      <c r="H1" s="88" t="s">
        <v>43</v>
      </c>
      <c r="I1" s="88" t="s">
        <v>44</v>
      </c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</row>
    <row r="2" ht="22.5" customHeight="1">
      <c r="A2" s="90" t="s">
        <v>45</v>
      </c>
      <c r="B2" s="91" t="s">
        <v>46</v>
      </c>
      <c r="C2" s="92" t="s">
        <v>47</v>
      </c>
      <c r="D2" s="91" t="s">
        <v>48</v>
      </c>
      <c r="E2" s="92" t="s">
        <v>49</v>
      </c>
      <c r="F2" s="93" t="str">
        <f t="shared" ref="F2:F9" si="1">A2</f>
        <v>joliequynh@otbcreatives.com</v>
      </c>
      <c r="G2" s="94" t="s">
        <v>50</v>
      </c>
      <c r="H2" s="95"/>
      <c r="I2" s="96" t="s">
        <v>51</v>
      </c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</row>
    <row r="3" ht="22.5" customHeight="1">
      <c r="A3" s="90" t="s">
        <v>52</v>
      </c>
      <c r="B3" s="91" t="s">
        <v>46</v>
      </c>
      <c r="C3" s="92" t="s">
        <v>53</v>
      </c>
      <c r="D3" s="91" t="s">
        <v>54</v>
      </c>
      <c r="E3" s="92" t="s">
        <v>55</v>
      </c>
      <c r="F3" s="93" t="str">
        <f t="shared" si="1"/>
        <v>jos.le@otbcreatives.com</v>
      </c>
      <c r="G3" s="94" t="s">
        <v>50</v>
      </c>
      <c r="H3" s="95"/>
      <c r="I3" s="96" t="s">
        <v>56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</row>
    <row r="4" ht="22.5" customHeight="1">
      <c r="A4" s="90" t="s">
        <v>57</v>
      </c>
      <c r="B4" s="91" t="s">
        <v>46</v>
      </c>
      <c r="C4" s="92" t="s">
        <v>58</v>
      </c>
      <c r="D4" s="91" t="s">
        <v>59</v>
      </c>
      <c r="E4" s="92" t="s">
        <v>60</v>
      </c>
      <c r="F4" s="93" t="str">
        <f t="shared" si="1"/>
        <v>toan.duongbao@otbcreatives.com</v>
      </c>
      <c r="G4" s="94" t="s">
        <v>50</v>
      </c>
      <c r="H4" s="95"/>
      <c r="I4" s="96" t="s">
        <v>61</v>
      </c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</row>
    <row r="5" ht="22.5" customHeight="1">
      <c r="A5" s="95"/>
      <c r="B5" s="91" t="s">
        <v>46</v>
      </c>
      <c r="C5" s="92" t="s">
        <v>62</v>
      </c>
      <c r="D5" s="95"/>
      <c r="E5" s="92" t="s">
        <v>63</v>
      </c>
      <c r="F5" s="97" t="str">
        <f t="shared" si="1"/>
        <v/>
      </c>
      <c r="G5" s="97"/>
      <c r="H5" s="95"/>
      <c r="I5" s="96" t="s">
        <v>64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</row>
    <row r="6" ht="22.5" customHeight="1">
      <c r="A6" s="95"/>
      <c r="B6" s="95"/>
      <c r="C6" s="98"/>
      <c r="D6" s="95"/>
      <c r="E6" s="99"/>
      <c r="F6" s="97" t="str">
        <f t="shared" si="1"/>
        <v/>
      </c>
      <c r="G6" s="97"/>
      <c r="H6" s="95"/>
      <c r="I6" s="100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 ht="22.5" customHeight="1">
      <c r="A7" s="95"/>
      <c r="B7" s="95"/>
      <c r="C7" s="98"/>
      <c r="D7" s="95"/>
      <c r="E7" s="99"/>
      <c r="F7" s="97" t="str">
        <f t="shared" si="1"/>
        <v/>
      </c>
      <c r="G7" s="97"/>
      <c r="H7" s="95"/>
      <c r="I7" s="100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</row>
    <row r="8" ht="22.5" customHeight="1">
      <c r="A8" s="95"/>
      <c r="B8" s="95"/>
      <c r="C8" s="98"/>
      <c r="D8" s="95"/>
      <c r="E8" s="98"/>
      <c r="F8" s="97" t="str">
        <f t="shared" si="1"/>
        <v/>
      </c>
      <c r="G8" s="97"/>
      <c r="H8" s="95"/>
      <c r="I8" s="100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</row>
    <row r="9" ht="22.5" customHeight="1">
      <c r="A9" s="95"/>
      <c r="B9" s="95"/>
      <c r="C9" s="98"/>
      <c r="D9" s="95"/>
      <c r="E9" s="98"/>
      <c r="F9" s="97" t="str">
        <f t="shared" si="1"/>
        <v/>
      </c>
      <c r="G9" s="97"/>
      <c r="H9" s="95"/>
      <c r="I9" s="100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</row>
  </sheetData>
  <dataValidations>
    <dataValidation type="list" allowBlank="1" sqref="E2:E9">
      <formula1>"Board of Director,IT Department,Marketing,Other"</formula1>
    </dataValidation>
    <dataValidation allowBlank="1" showDropDown="1" sqref="B2:B9 D2:D9 H2:I9"/>
    <dataValidation type="list" allowBlank="1" sqref="C2:C9">
      <formula1>"Super Admin,Moderator,Admin,Viewer"</formula1>
    </dataValidation>
  </dataValidations>
  <hyperlinks>
    <hyperlink r:id="rId1" ref="A2"/>
    <hyperlink r:id="rId2" ref="A3"/>
    <hyperlink r:id="rId3" ref="A4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